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3"/>
  </bookViews>
  <sheets>
    <sheet name="Judge1" sheetId="1" r:id="rId1"/>
    <sheet name="Judge2" sheetId="2" r:id="rId2"/>
    <sheet name="Judge3" sheetId="3" r:id="rId3"/>
    <sheet name="Main Sheet" sheetId="4" r:id="rId4"/>
  </sheets>
  <calcPr calcId="144525"/>
</workbook>
</file>

<file path=xl/calcChain.xml><?xml version="1.0" encoding="utf-8"?>
<calcChain xmlns="http://schemas.openxmlformats.org/spreadsheetml/2006/main">
  <c r="J10" i="4" l="1"/>
  <c r="J11" i="4"/>
  <c r="J12" i="4"/>
  <c r="J13" i="4"/>
  <c r="J14" i="4"/>
  <c r="J15" i="4"/>
  <c r="J16" i="4"/>
  <c r="J17" i="4"/>
  <c r="J18" i="4"/>
  <c r="J9" i="4"/>
  <c r="I10" i="4"/>
  <c r="I11" i="4"/>
  <c r="I12" i="4"/>
  <c r="I13" i="4"/>
  <c r="I14" i="4"/>
  <c r="I15" i="4"/>
  <c r="I16" i="4"/>
  <c r="I17" i="4"/>
  <c r="I18" i="4"/>
  <c r="I9" i="4"/>
  <c r="H10" i="4"/>
  <c r="H11" i="4"/>
  <c r="H12" i="4"/>
  <c r="H13" i="4"/>
  <c r="H14" i="4"/>
  <c r="H15" i="4"/>
  <c r="H16" i="4"/>
  <c r="H17" i="4"/>
  <c r="H18" i="4"/>
  <c r="H9" i="4"/>
  <c r="G10" i="4"/>
  <c r="G11" i="4"/>
  <c r="G12" i="4"/>
  <c r="G13" i="4"/>
  <c r="G14" i="4"/>
  <c r="G15" i="4"/>
  <c r="G16" i="4"/>
  <c r="G17" i="4"/>
  <c r="G18" i="4"/>
  <c r="G9" i="4"/>
  <c r="F10" i="4"/>
  <c r="F11" i="4"/>
  <c r="F12" i="4"/>
  <c r="F13" i="4"/>
  <c r="F14" i="4"/>
  <c r="F15" i="4"/>
  <c r="F16" i="4"/>
  <c r="F17" i="4"/>
  <c r="F18" i="4"/>
  <c r="F9" i="4"/>
  <c r="E10" i="4"/>
  <c r="E11" i="4"/>
  <c r="E12" i="4"/>
  <c r="E13" i="4"/>
  <c r="E14" i="4"/>
  <c r="E15" i="4"/>
  <c r="E16" i="4"/>
  <c r="E17" i="4"/>
  <c r="E18" i="4"/>
  <c r="E9" i="4"/>
  <c r="D10" i="4"/>
  <c r="D11" i="4"/>
  <c r="D12" i="4"/>
  <c r="D13" i="4"/>
  <c r="D14" i="4"/>
  <c r="D15" i="4"/>
  <c r="D16" i="4"/>
  <c r="D17" i="4"/>
  <c r="D18" i="4"/>
  <c r="D9" i="4"/>
  <c r="C10" i="4"/>
  <c r="C11" i="4"/>
  <c r="C12" i="4"/>
  <c r="C13" i="4"/>
  <c r="C14" i="4"/>
  <c r="C15" i="4"/>
  <c r="C16" i="4"/>
  <c r="C17" i="4"/>
  <c r="C18" i="4"/>
  <c r="C9" i="4"/>
  <c r="B10" i="4"/>
  <c r="B11" i="4"/>
  <c r="B12" i="4"/>
  <c r="K12" i="4" s="1"/>
  <c r="B13" i="4"/>
  <c r="B14" i="4"/>
  <c r="B15" i="4"/>
  <c r="B16" i="4"/>
  <c r="K16" i="4" s="1"/>
  <c r="B17" i="4"/>
  <c r="B18" i="4"/>
  <c r="B9" i="4"/>
  <c r="K18" i="4" l="1"/>
  <c r="K14" i="4"/>
  <c r="K10" i="4"/>
  <c r="K17" i="4"/>
  <c r="K13" i="4"/>
  <c r="K9" i="4"/>
  <c r="K15" i="4"/>
  <c r="K11" i="4"/>
</calcChain>
</file>

<file path=xl/sharedStrings.xml><?xml version="1.0" encoding="utf-8"?>
<sst xmlns="http://schemas.openxmlformats.org/spreadsheetml/2006/main" count="69" uniqueCount="18">
  <si>
    <t>Team Name</t>
  </si>
  <si>
    <t xml:space="preserve">Batting </t>
  </si>
  <si>
    <t xml:space="preserve">Bowling </t>
  </si>
  <si>
    <t>Fielding</t>
  </si>
  <si>
    <t>CSK</t>
  </si>
  <si>
    <t>RCB</t>
  </si>
  <si>
    <t>KKR</t>
  </si>
  <si>
    <t>DC</t>
  </si>
  <si>
    <t>MI</t>
  </si>
  <si>
    <t>SRH</t>
  </si>
  <si>
    <t>GT</t>
  </si>
  <si>
    <t>LSG</t>
  </si>
  <si>
    <t>PBKS</t>
  </si>
  <si>
    <t>RR</t>
  </si>
  <si>
    <t>JUDGE 1</t>
  </si>
  <si>
    <t>JUDGE 2</t>
  </si>
  <si>
    <t>JUDGE 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</si>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</sst>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5" borderId="1" xfId="0" applyFont="1" applyFill="1" applyBorder="1"/>
    <xf numFmtId="0" fontId="0" fillId="0" borderId="1" xfId="0" applyBorder="1"/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581025</xdr:colOff>
      <xdr:row>0</xdr:row>
      <xdr:rowOff>0</xdr:rowOff>
    </xdr:from>
    <xdr:to>
      <xdr:col>5</xdr:col>
      <xdr:colOff>828675</xdr:colOff>
      <xdr:row>4</xdr:row>
      <xdr:rowOff>180974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0"/>
          <a:ext cx="1190625" cy="942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B2" sqref="B2:D2"/>
    </sheetView>
  </sheetViews>
  <sheetFormatPr defaultRowHeight="15" x14ac:dyDescent="0.25"/>
  <cols>
    <col min="1" max="1" width="18.42578125" customWidth="1"/>
    <col min="2" max="2" width="18.5703125" customWidth="1"/>
    <col min="3" max="3" width="18.42578125" customWidth="1"/>
    <col min="4" max="4" width="18.140625" customWidth="1"/>
  </cols>
  <sheetData>
    <row r="1" spans="1:4" x14ac:dyDescent="0.25">
      <c r="A1" s="4" t="s">
        <v>14</v>
      </c>
      <c r="B1" s="4"/>
      <c r="C1" s="4"/>
      <c r="D1" s="4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5</v>
      </c>
      <c r="C3" s="3">
        <v>5</v>
      </c>
      <c r="D3" s="3">
        <v>5</v>
      </c>
    </row>
    <row r="4" spans="1:4" x14ac:dyDescent="0.25">
      <c r="A4" s="2" t="s">
        <v>5</v>
      </c>
      <c r="B4" s="3">
        <v>5</v>
      </c>
      <c r="C4" s="3">
        <v>5</v>
      </c>
      <c r="D4" s="3">
        <v>5</v>
      </c>
    </row>
    <row r="5" spans="1:4" x14ac:dyDescent="0.25">
      <c r="A5" s="2" t="s">
        <v>6</v>
      </c>
      <c r="B5" s="3">
        <v>5</v>
      </c>
      <c r="C5" s="3">
        <v>5</v>
      </c>
      <c r="D5" s="3">
        <v>5</v>
      </c>
    </row>
    <row r="6" spans="1:4" x14ac:dyDescent="0.25">
      <c r="A6" s="2" t="s">
        <v>7</v>
      </c>
      <c r="B6" s="3">
        <v>5</v>
      </c>
      <c r="C6" s="3">
        <v>5</v>
      </c>
      <c r="D6" s="3">
        <v>5</v>
      </c>
    </row>
    <row r="7" spans="1:4" x14ac:dyDescent="0.25">
      <c r="A7" s="2" t="s">
        <v>8</v>
      </c>
      <c r="B7" s="3">
        <v>5</v>
      </c>
      <c r="C7" s="3">
        <v>5</v>
      </c>
      <c r="D7" s="3">
        <v>5</v>
      </c>
    </row>
    <row r="8" spans="1:4" x14ac:dyDescent="0.25">
      <c r="A8" s="2" t="s">
        <v>9</v>
      </c>
      <c r="B8" s="3">
        <v>5</v>
      </c>
      <c r="C8" s="3">
        <v>5</v>
      </c>
      <c r="D8" s="3">
        <v>5</v>
      </c>
    </row>
    <row r="9" spans="1:4" x14ac:dyDescent="0.25">
      <c r="A9" s="2" t="s">
        <v>10</v>
      </c>
      <c r="B9" s="3">
        <v>5</v>
      </c>
      <c r="C9" s="3">
        <v>5</v>
      </c>
      <c r="D9" s="3">
        <v>5</v>
      </c>
    </row>
    <row r="10" spans="1:4" x14ac:dyDescent="0.25">
      <c r="A10" s="2" t="s">
        <v>11</v>
      </c>
      <c r="B10" s="3">
        <v>5</v>
      </c>
      <c r="C10" s="3">
        <v>5</v>
      </c>
      <c r="D10" s="3">
        <v>5</v>
      </c>
    </row>
    <row r="11" spans="1:4" x14ac:dyDescent="0.25">
      <c r="A11" s="2" t="s">
        <v>12</v>
      </c>
      <c r="B11" s="3">
        <v>5</v>
      </c>
      <c r="C11" s="3">
        <v>5</v>
      </c>
      <c r="D11" s="3">
        <v>5</v>
      </c>
    </row>
    <row r="12" spans="1:4" x14ac:dyDescent="0.25">
      <c r="A12" s="2" t="s">
        <v>13</v>
      </c>
      <c r="B12" s="3">
        <v>5</v>
      </c>
      <c r="C12" s="3">
        <v>5</v>
      </c>
      <c r="D12" s="3">
        <v>5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D12" sqref="D12"/>
    </sheetView>
  </sheetViews>
  <sheetFormatPr defaultRowHeight="15" x14ac:dyDescent="0.25"/>
  <cols>
    <col min="1" max="1" width="18.5703125" customWidth="1"/>
    <col min="2" max="4" width="18.140625" customWidth="1"/>
  </cols>
  <sheetData>
    <row r="1" spans="1:4" x14ac:dyDescent="0.25">
      <c r="A1" s="5" t="s">
        <v>15</v>
      </c>
      <c r="B1" s="5"/>
      <c r="C1" s="5"/>
      <c r="D1" s="5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4</v>
      </c>
      <c r="C3" s="3">
        <v>3</v>
      </c>
      <c r="D3" s="3">
        <v>3</v>
      </c>
    </row>
    <row r="4" spans="1:4" x14ac:dyDescent="0.25">
      <c r="A4" s="2" t="s">
        <v>5</v>
      </c>
      <c r="B4" s="3">
        <v>5</v>
      </c>
      <c r="C4" s="3">
        <v>4</v>
      </c>
      <c r="D4" s="3">
        <v>4</v>
      </c>
    </row>
    <row r="5" spans="1:4" x14ac:dyDescent="0.25">
      <c r="A5" s="2" t="s">
        <v>6</v>
      </c>
      <c r="B5" s="3">
        <v>3</v>
      </c>
      <c r="C5" s="3">
        <v>2</v>
      </c>
      <c r="D5" s="3">
        <v>3</v>
      </c>
    </row>
    <row r="6" spans="1:4" x14ac:dyDescent="0.25">
      <c r="A6" s="2" t="s">
        <v>7</v>
      </c>
      <c r="B6" s="3">
        <v>3</v>
      </c>
      <c r="C6" s="3">
        <v>4</v>
      </c>
      <c r="D6" s="3">
        <v>4</v>
      </c>
    </row>
    <row r="7" spans="1:4" x14ac:dyDescent="0.25">
      <c r="A7" s="2" t="s">
        <v>8</v>
      </c>
      <c r="B7" s="3">
        <v>4</v>
      </c>
      <c r="C7" s="3">
        <v>5</v>
      </c>
      <c r="D7" s="3">
        <v>4</v>
      </c>
    </row>
    <row r="8" spans="1:4" x14ac:dyDescent="0.25">
      <c r="A8" s="2" t="s">
        <v>9</v>
      </c>
      <c r="B8" s="3">
        <v>5</v>
      </c>
      <c r="C8" s="3">
        <v>3</v>
      </c>
      <c r="D8" s="3">
        <v>4</v>
      </c>
    </row>
    <row r="9" spans="1:4" x14ac:dyDescent="0.25">
      <c r="A9" s="2" t="s">
        <v>10</v>
      </c>
      <c r="B9" s="3">
        <v>4</v>
      </c>
      <c r="C9" s="3">
        <v>3</v>
      </c>
      <c r="D9" s="3">
        <v>5</v>
      </c>
    </row>
    <row r="10" spans="1:4" x14ac:dyDescent="0.25">
      <c r="A10" s="2" t="s">
        <v>11</v>
      </c>
      <c r="B10" s="3">
        <v>3</v>
      </c>
      <c r="C10" s="3">
        <v>4</v>
      </c>
      <c r="D10" s="3">
        <v>3</v>
      </c>
    </row>
    <row r="11" spans="1:4" x14ac:dyDescent="0.25">
      <c r="A11" s="2" t="s">
        <v>12</v>
      </c>
      <c r="B11" s="3">
        <v>5</v>
      </c>
      <c r="C11" s="3">
        <v>5</v>
      </c>
      <c r="D11" s="3">
        <v>5</v>
      </c>
    </row>
    <row r="12" spans="1:4" x14ac:dyDescent="0.25">
      <c r="A12" s="2" t="s">
        <v>13</v>
      </c>
      <c r="B12" s="3">
        <v>4</v>
      </c>
      <c r="C12" s="3">
        <v>3</v>
      </c>
      <c r="D12" s="3">
        <v>4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C19" sqref="C19"/>
    </sheetView>
  </sheetViews>
  <sheetFormatPr defaultRowHeight="15" x14ac:dyDescent="0.25"/>
  <cols>
    <col min="1" max="1" width="18.5703125" customWidth="1"/>
    <col min="2" max="2" width="18" customWidth="1"/>
    <col min="3" max="3" width="18.7109375" customWidth="1"/>
    <col min="4" max="4" width="17.85546875" customWidth="1"/>
  </cols>
  <sheetData>
    <row r="1" spans="1:4" x14ac:dyDescent="0.25">
      <c r="A1" s="5" t="s">
        <v>16</v>
      </c>
      <c r="B1" s="5"/>
      <c r="C1" s="5"/>
      <c r="D1" s="5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5</v>
      </c>
      <c r="C3" s="3">
        <v>5</v>
      </c>
      <c r="D3" s="3">
        <v>5</v>
      </c>
    </row>
    <row r="4" spans="1:4" x14ac:dyDescent="0.25">
      <c r="A4" s="2" t="s">
        <v>5</v>
      </c>
      <c r="B4" s="3">
        <v>4</v>
      </c>
      <c r="C4" s="3">
        <v>3</v>
      </c>
      <c r="D4" s="3">
        <v>4</v>
      </c>
    </row>
    <row r="5" spans="1:4" x14ac:dyDescent="0.25">
      <c r="A5" s="2" t="s">
        <v>6</v>
      </c>
      <c r="B5" s="3">
        <v>5</v>
      </c>
      <c r="C5" s="3">
        <v>3</v>
      </c>
      <c r="D5" s="3">
        <v>2</v>
      </c>
    </row>
    <row r="6" spans="1:4" x14ac:dyDescent="0.25">
      <c r="A6" s="2" t="s">
        <v>7</v>
      </c>
      <c r="B6" s="3">
        <v>4</v>
      </c>
      <c r="C6" s="3">
        <v>4</v>
      </c>
      <c r="D6" s="3">
        <v>3</v>
      </c>
    </row>
    <row r="7" spans="1:4" x14ac:dyDescent="0.25">
      <c r="A7" s="2" t="s">
        <v>8</v>
      </c>
      <c r="B7" s="3">
        <v>3</v>
      </c>
      <c r="C7" s="3">
        <v>5</v>
      </c>
      <c r="D7" s="3">
        <v>4</v>
      </c>
    </row>
    <row r="8" spans="1:4" x14ac:dyDescent="0.25">
      <c r="A8" s="2" t="s">
        <v>9</v>
      </c>
      <c r="B8" s="3">
        <v>4</v>
      </c>
      <c r="C8" s="3">
        <v>3</v>
      </c>
      <c r="D8" s="3">
        <v>2</v>
      </c>
    </row>
    <row r="9" spans="1:4" x14ac:dyDescent="0.25">
      <c r="A9" s="2" t="s">
        <v>10</v>
      </c>
      <c r="B9" s="3">
        <v>5</v>
      </c>
      <c r="C9" s="3">
        <v>5</v>
      </c>
      <c r="D9" s="3">
        <v>3</v>
      </c>
    </row>
    <row r="10" spans="1:4" x14ac:dyDescent="0.25">
      <c r="A10" s="2" t="s">
        <v>11</v>
      </c>
      <c r="B10" s="3">
        <v>3</v>
      </c>
      <c r="C10" s="3">
        <v>3</v>
      </c>
      <c r="D10" s="3">
        <v>4</v>
      </c>
    </row>
    <row r="11" spans="1:4" x14ac:dyDescent="0.25">
      <c r="A11" s="2" t="s">
        <v>12</v>
      </c>
      <c r="B11" s="3">
        <v>4</v>
      </c>
      <c r="C11" s="3">
        <v>4</v>
      </c>
      <c r="D11" s="3">
        <v>5</v>
      </c>
    </row>
    <row r="12" spans="1:4" x14ac:dyDescent="0.25">
      <c r="A12" s="2" t="s">
        <v>13</v>
      </c>
      <c r="B12" s="3">
        <v>5</v>
      </c>
      <c r="C12" s="3">
        <v>3</v>
      </c>
      <c r="D12" s="3">
        <v>4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F19" sqref="F19"/>
    </sheetView>
  </sheetViews>
  <sheetFormatPr defaultRowHeight="15" x14ac:dyDescent="0.25"/>
  <cols>
    <col min="1" max="1" width="21.7109375" customWidth="1"/>
    <col min="2" max="2" width="15.28515625" customWidth="1"/>
    <col min="3" max="3" width="14.140625" customWidth="1"/>
    <col min="4" max="4" width="13.42578125" customWidth="1"/>
    <col min="5" max="5" width="14.140625" customWidth="1"/>
    <col min="6" max="6" width="13.7109375" customWidth="1"/>
    <col min="7" max="7" width="14.5703125" customWidth="1"/>
    <col min="8" max="8" width="15" customWidth="1"/>
    <col min="9" max="9" width="14.7109375" customWidth="1"/>
    <col min="10" max="10" width="14" customWidth="1"/>
  </cols>
  <sheetData>
    <row r="1" spans="1:1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x14ac:dyDescent="0.25">
      <c r="A5" s="10" t="s">
        <v>0</v>
      </c>
      <c r="B5" s="11" t="s">
        <v>14</v>
      </c>
      <c r="C5" s="11"/>
      <c r="D5" s="11"/>
      <c r="E5" s="11" t="s">
        <v>15</v>
      </c>
      <c r="F5" s="11"/>
      <c r="G5" s="11"/>
      <c r="H5" s="11" t="s">
        <v>16</v>
      </c>
      <c r="I5" s="11"/>
      <c r="J5" s="11"/>
      <c r="K5" s="12" t="s">
        <v>17</v>
      </c>
    </row>
    <row r="6" spans="1:11" x14ac:dyDescent="0.25">
      <c r="A6" s="10"/>
      <c r="B6" s="11"/>
      <c r="C6" s="11"/>
      <c r="D6" s="11"/>
      <c r="E6" s="11"/>
      <c r="F6" s="11"/>
      <c r="G6" s="11"/>
      <c r="H6" s="11"/>
      <c r="I6" s="11"/>
      <c r="J6" s="11"/>
      <c r="K6" s="12"/>
    </row>
    <row r="7" spans="1:11" x14ac:dyDescent="0.25">
      <c r="A7" s="10"/>
      <c r="B7" s="11"/>
      <c r="C7" s="11"/>
      <c r="D7" s="11"/>
      <c r="E7" s="11"/>
      <c r="F7" s="11"/>
      <c r="G7" s="11"/>
      <c r="H7" s="11"/>
      <c r="I7" s="11"/>
      <c r="J7" s="11"/>
      <c r="K7" s="12"/>
    </row>
    <row r="8" spans="1:11" x14ac:dyDescent="0.25">
      <c r="A8" s="10"/>
      <c r="B8" s="6" t="s">
        <v>1</v>
      </c>
      <c r="C8" s="6" t="s">
        <v>2</v>
      </c>
      <c r="D8" s="6" t="s">
        <v>3</v>
      </c>
      <c r="E8" s="6" t="s">
        <v>1</v>
      </c>
      <c r="F8" s="6" t="s">
        <v>2</v>
      </c>
      <c r="G8" s="6" t="s">
        <v>3</v>
      </c>
      <c r="H8" s="6" t="s">
        <v>1</v>
      </c>
      <c r="I8" s="6" t="s">
        <v>2</v>
      </c>
      <c r="J8" s="6" t="s">
        <v>3</v>
      </c>
      <c r="K8" s="13"/>
    </row>
    <row r="9" spans="1:11" x14ac:dyDescent="0.25">
      <c r="A9" s="7" t="s">
        <v>4</v>
      </c>
      <c r="B9" s="8">
        <f>VLOOKUP('Main Sheet'!A9,Judge1!A2:D12,2,FALSE)</f>
        <v>5</v>
      </c>
      <c r="C9" s="8">
        <f>VLOOKUP(A9,Judge1!A2:D12,3,FALSE)</f>
        <v>5</v>
      </c>
      <c r="D9" s="8">
        <f>VLOOKUP(A9,Judge1!A2:D12,4,FALSE)</f>
        <v>5</v>
      </c>
      <c r="E9" s="8">
        <f>VLOOKUP(A9,Judge2!A2:D12,2,FALSE)</f>
        <v>4</v>
      </c>
      <c r="F9" s="8">
        <f>VLOOKUP(A9,Judge2!A2:D12,3,FALSE)</f>
        <v>3</v>
      </c>
      <c r="G9" s="8">
        <f>VLOOKUP(A9,Judge2!A2:D12,4,FALSE)</f>
        <v>3</v>
      </c>
      <c r="H9" s="8">
        <f>VLOOKUP(A9,Judge3!A2:D12,2,FALSE)</f>
        <v>5</v>
      </c>
      <c r="I9" s="8">
        <f>VLOOKUP(A9,Judge3!A2:D12,3,FALSE)</f>
        <v>5</v>
      </c>
      <c r="J9" s="8">
        <f>VLOOKUP(A9,Judge3!A2:D12,4,FALSE)</f>
        <v>5</v>
      </c>
      <c r="K9" s="8">
        <f>SUM(B9:J9)</f>
        <v>40</v>
      </c>
    </row>
    <row r="10" spans="1:11" x14ac:dyDescent="0.25">
      <c r="A10" s="7" t="s">
        <v>5</v>
      </c>
      <c r="B10" s="8">
        <f>VLOOKUP('Main Sheet'!A10,Judge1!A3:D13,2,FALSE)</f>
        <v>5</v>
      </c>
      <c r="C10" s="8">
        <f>VLOOKUP(A10,Judge1!A3:D13,3,FALSE)</f>
        <v>5</v>
      </c>
      <c r="D10" s="8">
        <f>VLOOKUP(A10,Judge1!A3:D13,4,FALSE)</f>
        <v>5</v>
      </c>
      <c r="E10" s="8">
        <f>VLOOKUP(A10,Judge2!A3:D13,2,FALSE)</f>
        <v>5</v>
      </c>
      <c r="F10" s="8">
        <f>VLOOKUP(A10,Judge2!A3:D13,3,FALSE)</f>
        <v>4</v>
      </c>
      <c r="G10" s="8">
        <f>VLOOKUP(A10,Judge2!A3:D13,4,FALSE)</f>
        <v>4</v>
      </c>
      <c r="H10" s="8">
        <f>VLOOKUP(A10,Judge3!A3:D13,2,FALSE)</f>
        <v>4</v>
      </c>
      <c r="I10" s="8">
        <f>VLOOKUP(A10,Judge3!A3:D13,3,FALSE)</f>
        <v>3</v>
      </c>
      <c r="J10" s="8">
        <f>VLOOKUP(A10,Judge3!A3:D13,4,FALSE)</f>
        <v>4</v>
      </c>
      <c r="K10" s="8">
        <f t="shared" ref="K10:K18" si="0">SUM(B10:J10)</f>
        <v>39</v>
      </c>
    </row>
    <row r="11" spans="1:11" x14ac:dyDescent="0.25">
      <c r="A11" s="7" t="s">
        <v>6</v>
      </c>
      <c r="B11" s="8">
        <f>VLOOKUP('Main Sheet'!A11,Judge1!A4:D14,2,FALSE)</f>
        <v>5</v>
      </c>
      <c r="C11" s="8">
        <f>VLOOKUP(A11,Judge1!A4:D14,3,FALSE)</f>
        <v>5</v>
      </c>
      <c r="D11" s="8">
        <f>VLOOKUP(A11,Judge1!A4:D14,4,FALSE)</f>
        <v>5</v>
      </c>
      <c r="E11" s="8">
        <f>VLOOKUP(A11,Judge2!A4:D14,2,FALSE)</f>
        <v>3</v>
      </c>
      <c r="F11" s="8">
        <f>VLOOKUP(A11,Judge2!A4:D14,3,FALSE)</f>
        <v>2</v>
      </c>
      <c r="G11" s="8">
        <f>VLOOKUP(A11,Judge2!A4:D14,4,FALSE)</f>
        <v>3</v>
      </c>
      <c r="H11" s="8">
        <f>VLOOKUP(A11,Judge3!A4:D14,2,FALSE)</f>
        <v>5</v>
      </c>
      <c r="I11" s="8">
        <f>VLOOKUP(A11,Judge3!A4:D14,3,FALSE)</f>
        <v>3</v>
      </c>
      <c r="J11" s="8">
        <f>VLOOKUP(A11,Judge3!A4:D14,4,FALSE)</f>
        <v>2</v>
      </c>
      <c r="K11" s="8">
        <f t="shared" si="0"/>
        <v>33</v>
      </c>
    </row>
    <row r="12" spans="1:11" x14ac:dyDescent="0.25">
      <c r="A12" s="7" t="s">
        <v>7</v>
      </c>
      <c r="B12" s="8">
        <f>VLOOKUP('Main Sheet'!A12,Judge1!A5:D15,2,FALSE)</f>
        <v>5</v>
      </c>
      <c r="C12" s="8">
        <f>VLOOKUP(A12,Judge1!A5:D15,3,FALSE)</f>
        <v>5</v>
      </c>
      <c r="D12" s="8">
        <f>VLOOKUP(A12,Judge1!A5:D15,4,FALSE)</f>
        <v>5</v>
      </c>
      <c r="E12" s="8">
        <f>VLOOKUP(A12,Judge2!A5:D15,2,FALSE)</f>
        <v>3</v>
      </c>
      <c r="F12" s="8">
        <f>VLOOKUP(A12,Judge2!A5:D15,3,FALSE)</f>
        <v>4</v>
      </c>
      <c r="G12" s="8">
        <f>VLOOKUP(A12,Judge2!A5:D15,4,FALSE)</f>
        <v>4</v>
      </c>
      <c r="H12" s="8">
        <f>VLOOKUP(A12,Judge3!A5:D15,2,FALSE)</f>
        <v>4</v>
      </c>
      <c r="I12" s="8">
        <f>VLOOKUP(A12,Judge3!A5:D15,3,FALSE)</f>
        <v>4</v>
      </c>
      <c r="J12" s="8">
        <f>VLOOKUP(A12,Judge3!A5:D15,4,FALSE)</f>
        <v>3</v>
      </c>
      <c r="K12" s="8">
        <f t="shared" si="0"/>
        <v>37</v>
      </c>
    </row>
    <row r="13" spans="1:11" x14ac:dyDescent="0.25">
      <c r="A13" s="7" t="s">
        <v>8</v>
      </c>
      <c r="B13" s="8">
        <f>VLOOKUP('Main Sheet'!A13,Judge1!A6:D16,2,FALSE)</f>
        <v>5</v>
      </c>
      <c r="C13" s="8">
        <f>VLOOKUP(A13,Judge1!A6:D16,3,FALSE)</f>
        <v>5</v>
      </c>
      <c r="D13" s="8">
        <f>VLOOKUP(A13,Judge1!A6:D16,4,FALSE)</f>
        <v>5</v>
      </c>
      <c r="E13" s="8">
        <f>VLOOKUP(A13,Judge2!A6:D16,2,FALSE)</f>
        <v>4</v>
      </c>
      <c r="F13" s="8">
        <f>VLOOKUP(A13,Judge2!A6:D16,3,FALSE)</f>
        <v>5</v>
      </c>
      <c r="G13" s="8">
        <f>VLOOKUP(A13,Judge2!A6:D16,4,FALSE)</f>
        <v>4</v>
      </c>
      <c r="H13" s="8">
        <f>VLOOKUP(A13,Judge3!A6:D16,2,FALSE)</f>
        <v>3</v>
      </c>
      <c r="I13" s="8">
        <f>VLOOKUP(A13,Judge3!A6:D16,3,FALSE)</f>
        <v>5</v>
      </c>
      <c r="J13" s="8">
        <f>VLOOKUP(A13,Judge3!A6:D16,4,FALSE)</f>
        <v>4</v>
      </c>
      <c r="K13" s="8">
        <f t="shared" si="0"/>
        <v>40</v>
      </c>
    </row>
    <row r="14" spans="1:11" x14ac:dyDescent="0.25">
      <c r="A14" s="7" t="s">
        <v>9</v>
      </c>
      <c r="B14" s="8">
        <f>VLOOKUP('Main Sheet'!A14,Judge1!A7:D17,2,FALSE)</f>
        <v>5</v>
      </c>
      <c r="C14" s="8">
        <f>VLOOKUP(A14,Judge1!A7:D17,3,FALSE)</f>
        <v>5</v>
      </c>
      <c r="D14" s="8">
        <f>VLOOKUP(A14,Judge1!A7:D17,4,FALSE)</f>
        <v>5</v>
      </c>
      <c r="E14" s="8">
        <f>VLOOKUP(A14,Judge2!A7:D17,2,FALSE)</f>
        <v>5</v>
      </c>
      <c r="F14" s="8">
        <f>VLOOKUP(A14,Judge2!A7:D17,3,FALSE)</f>
        <v>3</v>
      </c>
      <c r="G14" s="8">
        <f>VLOOKUP(A14,Judge2!A7:D17,4,FALSE)</f>
        <v>4</v>
      </c>
      <c r="H14" s="8">
        <f>VLOOKUP(A14,Judge3!A7:D17,2,FALSE)</f>
        <v>4</v>
      </c>
      <c r="I14" s="8">
        <f>VLOOKUP(A14,Judge3!A7:D17,3,FALSE)</f>
        <v>3</v>
      </c>
      <c r="J14" s="8">
        <f>VLOOKUP(A14,Judge3!A7:D17,4,FALSE)</f>
        <v>2</v>
      </c>
      <c r="K14" s="8">
        <f t="shared" si="0"/>
        <v>36</v>
      </c>
    </row>
    <row r="15" spans="1:11" x14ac:dyDescent="0.25">
      <c r="A15" s="7" t="s">
        <v>10</v>
      </c>
      <c r="B15" s="8">
        <f>VLOOKUP('Main Sheet'!A15,Judge1!A8:D18,2,FALSE)</f>
        <v>5</v>
      </c>
      <c r="C15" s="8">
        <f>VLOOKUP(A15,Judge1!A8:D18,3,FALSE)</f>
        <v>5</v>
      </c>
      <c r="D15" s="8">
        <f>VLOOKUP(A15,Judge1!A8:D18,4,FALSE)</f>
        <v>5</v>
      </c>
      <c r="E15" s="8">
        <f>VLOOKUP(A15,Judge2!A8:D18,2,FALSE)</f>
        <v>4</v>
      </c>
      <c r="F15" s="8">
        <f>VLOOKUP(A15,Judge2!A8:D18,3,FALSE)</f>
        <v>3</v>
      </c>
      <c r="G15" s="8">
        <f>VLOOKUP(A15,Judge2!A8:D18,4,FALSE)</f>
        <v>5</v>
      </c>
      <c r="H15" s="8">
        <f>VLOOKUP(A15,Judge3!A8:D18,2,FALSE)</f>
        <v>5</v>
      </c>
      <c r="I15" s="8">
        <f>VLOOKUP(A15,Judge3!A8:D18,3,FALSE)</f>
        <v>5</v>
      </c>
      <c r="J15" s="8">
        <f>VLOOKUP(A15,Judge3!A8:D18,4,FALSE)</f>
        <v>3</v>
      </c>
      <c r="K15" s="8">
        <f t="shared" si="0"/>
        <v>40</v>
      </c>
    </row>
    <row r="16" spans="1:11" x14ac:dyDescent="0.25">
      <c r="A16" s="7" t="s">
        <v>11</v>
      </c>
      <c r="B16" s="8">
        <f>VLOOKUP('Main Sheet'!A16,Judge1!A9:D19,2,FALSE)</f>
        <v>5</v>
      </c>
      <c r="C16" s="8">
        <f>VLOOKUP(A16,Judge1!A9:D19,3,FALSE)</f>
        <v>5</v>
      </c>
      <c r="D16" s="8">
        <f>VLOOKUP(A16,Judge1!A9:D19,4,FALSE)</f>
        <v>5</v>
      </c>
      <c r="E16" s="8">
        <f>VLOOKUP(A16,Judge2!A9:D19,2,FALSE)</f>
        <v>3</v>
      </c>
      <c r="F16" s="8">
        <f>VLOOKUP(A16,Judge2!A9:D19,3,FALSE)</f>
        <v>4</v>
      </c>
      <c r="G16" s="8">
        <f>VLOOKUP(A16,Judge2!A9:D19,4,FALSE)</f>
        <v>3</v>
      </c>
      <c r="H16" s="8">
        <f>VLOOKUP(A16,Judge3!A9:D19,2,FALSE)</f>
        <v>3</v>
      </c>
      <c r="I16" s="8">
        <f>VLOOKUP(A16,Judge3!A9:D19,3,FALSE)</f>
        <v>3</v>
      </c>
      <c r="J16" s="8">
        <f>VLOOKUP(A16,Judge3!A9:D19,4,FALSE)</f>
        <v>4</v>
      </c>
      <c r="K16" s="8">
        <f t="shared" si="0"/>
        <v>35</v>
      </c>
    </row>
    <row r="17" spans="1:11" x14ac:dyDescent="0.25">
      <c r="A17" s="7" t="s">
        <v>12</v>
      </c>
      <c r="B17" s="8">
        <f>VLOOKUP('Main Sheet'!A17,Judge1!A10:D20,2,FALSE)</f>
        <v>5</v>
      </c>
      <c r="C17" s="8">
        <f>VLOOKUP(A17,Judge1!A10:D20,3,FALSE)</f>
        <v>5</v>
      </c>
      <c r="D17" s="8">
        <f>VLOOKUP(A17,Judge1!A10:D20,4,FALSE)</f>
        <v>5</v>
      </c>
      <c r="E17" s="8">
        <f>VLOOKUP(A17,Judge2!A10:D20,2,FALSE)</f>
        <v>5</v>
      </c>
      <c r="F17" s="8">
        <f>VLOOKUP(A17,Judge2!A10:D20,3,FALSE)</f>
        <v>5</v>
      </c>
      <c r="G17" s="8">
        <f>VLOOKUP(A17,Judge2!A10:D20,4,FALSE)</f>
        <v>5</v>
      </c>
      <c r="H17" s="8">
        <f>VLOOKUP(A17,Judge3!A10:D20,2,FALSE)</f>
        <v>4</v>
      </c>
      <c r="I17" s="8">
        <f>VLOOKUP(A17,Judge3!A10:D20,3,FALSE)</f>
        <v>4</v>
      </c>
      <c r="J17" s="8">
        <f>VLOOKUP(A17,Judge3!A10:D20,4,FALSE)</f>
        <v>5</v>
      </c>
      <c r="K17" s="8">
        <f t="shared" si="0"/>
        <v>43</v>
      </c>
    </row>
    <row r="18" spans="1:11" x14ac:dyDescent="0.25">
      <c r="A18" s="7" t="s">
        <v>13</v>
      </c>
      <c r="B18" s="8">
        <f>VLOOKUP('Main Sheet'!A18,Judge1!A11:D21,2,FALSE)</f>
        <v>5</v>
      </c>
      <c r="C18" s="8">
        <f>VLOOKUP(A18,Judge1!A11:D21,3,FALSE)</f>
        <v>5</v>
      </c>
      <c r="D18" s="8">
        <f>VLOOKUP(A18,Judge1!A11:D21,4,FALSE)</f>
        <v>5</v>
      </c>
      <c r="E18" s="8">
        <f>VLOOKUP(A18,Judge2!A11:D21,2,FALSE)</f>
        <v>4</v>
      </c>
      <c r="F18" s="8">
        <f>VLOOKUP(A18,Judge2!A11:D21,3,FALSE)</f>
        <v>3</v>
      </c>
      <c r="G18" s="8">
        <f>VLOOKUP(A18,Judge2!A11:D21,4,FALSE)</f>
        <v>4</v>
      </c>
      <c r="H18" s="8">
        <f>VLOOKUP(A18,Judge3!A11:D21,2,FALSE)</f>
        <v>5</v>
      </c>
      <c r="I18" s="8">
        <f>VLOOKUP(A18,Judge3!A11:D21,3,FALSE)</f>
        <v>3</v>
      </c>
      <c r="J18" s="8">
        <f>VLOOKUP(A18,Judge3!A11:D21,4,FALSE)</f>
        <v>4</v>
      </c>
      <c r="K18" s="8">
        <f t="shared" si="0"/>
        <v>38</v>
      </c>
    </row>
  </sheetData>
  <mergeCells count="6">
    <mergeCell ref="A1:K4"/>
    <mergeCell ref="A5:A8"/>
    <mergeCell ref="B5:D7"/>
    <mergeCell ref="E5:G7"/>
    <mergeCell ref="H5:J7"/>
    <mergeCell ref="K5:K7"/>
  </mergeCells>
  <conditionalFormatting sqref="K9:K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Judge1</vt:lpstr>
      <vt:lpstr>Judge2</vt:lpstr>
      <vt:lpstr>Judge3</vt:lpstr>
      <vt:lpstr>Main 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2026-02-20T09:32:35Z</dcterms:created>
  <dcterms:modified xsi:type="dcterms:W3CDTF">2026-04-15T12:14:14Z</dcterms:modified>
</cp:coreProperties>
</file>